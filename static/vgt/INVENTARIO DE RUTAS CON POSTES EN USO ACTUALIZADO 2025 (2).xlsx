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ARIO DE RUTAS INTERNO " sheetId="1" r:id="rId4"/>
    <sheet state="visible" name="rutas Dun" sheetId="2" r:id="rId5"/>
    <sheet state="visible" name="EDC" sheetId="3" r:id="rId6"/>
  </sheets>
  <definedNames/>
  <calcPr/>
  <extLst>
    <ext uri="GoogleSheetsCustomDataVersion2">
      <go:sheetsCustomData xmlns:go="http://customooxmlschemas.google.com/" r:id="rId7" roundtripDataChecksum="ym0NHrDvnSEtkJdfcWrkeXhA8FQkvpdeAXAsH4SbrYU="/>
    </ext>
  </extLst>
</workbook>
</file>

<file path=xl/sharedStrings.xml><?xml version="1.0" encoding="utf-8"?>
<sst xmlns="http://schemas.openxmlformats.org/spreadsheetml/2006/main" count="415" uniqueCount="267">
  <si>
    <t xml:space="preserve">INVENTARIO DE RUTAS EDC NETWORK </t>
  </si>
  <si>
    <t xml:space="preserve">N° </t>
  </si>
  <si>
    <t xml:space="preserve">DESCRIPCIÓN </t>
  </si>
  <si>
    <t>VGT</t>
  </si>
  <si>
    <t>POSTES EN USO</t>
  </si>
  <si>
    <t>FIBRA EMPLAZADA</t>
  </si>
  <si>
    <t xml:space="preserve">AUTORIZADA </t>
  </si>
  <si>
    <t xml:space="preserve">DISTANCIA EN KM </t>
  </si>
  <si>
    <t xml:space="preserve">POSTES ENERO 2025 </t>
  </si>
  <si>
    <t>Distancia
KM</t>
  </si>
  <si>
    <t>R-1</t>
  </si>
  <si>
    <t xml:space="preserve">LA MORITA </t>
  </si>
  <si>
    <t>VGT-P-0223</t>
  </si>
  <si>
    <t xml:space="preserve">SI </t>
  </si>
  <si>
    <t>SI</t>
  </si>
  <si>
    <t>R-2</t>
  </si>
  <si>
    <t>C.C LA COLINA- MONTE BELLO</t>
  </si>
  <si>
    <t xml:space="preserve"> VGT-P-0031</t>
  </si>
  <si>
    <t>R-3</t>
  </si>
  <si>
    <t>PARQUE EL RETIRO</t>
  </si>
  <si>
    <t>VGT-P-0186</t>
  </si>
  <si>
    <t>R-4</t>
  </si>
  <si>
    <t xml:space="preserve">EL PASO </t>
  </si>
  <si>
    <t>VGT-P-0187</t>
  </si>
  <si>
    <t>R-5</t>
  </si>
  <si>
    <t>SOLAR DE LA QTA</t>
  </si>
  <si>
    <t>VGT-P-0064</t>
  </si>
  <si>
    <t>R-6</t>
  </si>
  <si>
    <t xml:space="preserve">MONTE BELLO- JUNIN-TIBISAY-MACARENA ACTUALIZADA </t>
  </si>
  <si>
    <t>VGT-P-0218</t>
  </si>
  <si>
    <t>R-7</t>
  </si>
  <si>
    <t>LA COLINA-COLISEO-CLUB DE CAMPO</t>
  </si>
  <si>
    <t>VGT-P-0183</t>
  </si>
  <si>
    <t>R-8</t>
  </si>
  <si>
    <t>PUENTE CASTRO-PIE FINO-C. MÉDICO-SOLAR</t>
  </si>
  <si>
    <t>VGT-2023-P-675</t>
  </si>
  <si>
    <t>R-9</t>
  </si>
  <si>
    <t>ESC. TALLER SIMON BOLÍVAR-EL NACIONAL</t>
  </si>
  <si>
    <t>R-10</t>
  </si>
  <si>
    <t>C. GUAICAIPURO-C. AYACUCHO (23 ENERO)</t>
  </si>
  <si>
    <t>VGT-2023-P-676</t>
  </si>
  <si>
    <t>R-11</t>
  </si>
  <si>
    <t xml:space="preserve">MACARENA-CABOTAJE -LA MATICA </t>
  </si>
  <si>
    <t>R-12</t>
  </si>
  <si>
    <t xml:space="preserve">CALLEJÓN VARGAS </t>
  </si>
  <si>
    <t>VGT-2023-P-677</t>
  </si>
  <si>
    <t>R-13</t>
  </si>
  <si>
    <t>LAS MINAS</t>
  </si>
  <si>
    <t xml:space="preserve">PENDIENTE </t>
  </si>
  <si>
    <t>R-14</t>
  </si>
  <si>
    <t>LA ESTRELLA-PANADERO-TRIGO-C. PÁEZ VICTEGUI</t>
  </si>
  <si>
    <t>VGT-2023-P-678</t>
  </si>
  <si>
    <t>R-15</t>
  </si>
  <si>
    <t>PTE. CASTRO-TERMINAL-TIUNA-C. MIQUILEN-BERMUDEZ</t>
  </si>
  <si>
    <t>VGT-2023-P-679</t>
  </si>
  <si>
    <t>R-16</t>
  </si>
  <si>
    <t>CABOTAJE-SANTA EULALIA</t>
  </si>
  <si>
    <t>VGT-2023-P-680</t>
  </si>
  <si>
    <t>R-17</t>
  </si>
  <si>
    <t xml:space="preserve">BRISAS DE ORIENTE </t>
  </si>
  <si>
    <t>VGT-2023-P-681</t>
  </si>
  <si>
    <t>R-18</t>
  </si>
  <si>
    <t>IUTA - LOS ALPES</t>
  </si>
  <si>
    <t>VGT-2023-P-682</t>
  </si>
  <si>
    <t>R-19</t>
  </si>
  <si>
    <t xml:space="preserve">LOS ALPES- CAMATAGUA </t>
  </si>
  <si>
    <t>VGT-2023-P-683</t>
  </si>
  <si>
    <t>R-20</t>
  </si>
  <si>
    <t xml:space="preserve">BARRIO MIRANDA </t>
  </si>
  <si>
    <t>VGT-2023-P-684</t>
  </si>
  <si>
    <t>R-21</t>
  </si>
  <si>
    <t xml:space="preserve">EL BOSQUE </t>
  </si>
  <si>
    <t>VGT-2023-P-685</t>
  </si>
  <si>
    <t>R-22</t>
  </si>
  <si>
    <t xml:space="preserve">COLINA DE LA MATICA </t>
  </si>
  <si>
    <t>VGT-2023-P-686</t>
  </si>
  <si>
    <t>R-23</t>
  </si>
  <si>
    <t xml:space="preserve">EL RINCON </t>
  </si>
  <si>
    <t>VGT-2023.-P-687</t>
  </si>
  <si>
    <t>R-24</t>
  </si>
  <si>
    <t xml:space="preserve">VALLE ALTO FONTANERA </t>
  </si>
  <si>
    <t>VGT-2023.-P-688</t>
  </si>
  <si>
    <t>R-25</t>
  </si>
  <si>
    <t xml:space="preserve">CALLE FEDERACION </t>
  </si>
  <si>
    <t>VGT-2023-P-689</t>
  </si>
  <si>
    <t>R-26</t>
  </si>
  <si>
    <t xml:space="preserve">ELEVADO-PUEBLO </t>
  </si>
  <si>
    <t>VGT-2023-P-690</t>
  </si>
  <si>
    <t>R-27</t>
  </si>
  <si>
    <t>LA ERMITA</t>
  </si>
  <si>
    <t>VGT-2023-P-691</t>
  </si>
  <si>
    <t>R-28</t>
  </si>
  <si>
    <t>TEXAS CITY</t>
  </si>
  <si>
    <t>VGT-2023.-P-692</t>
  </si>
  <si>
    <t>R-29</t>
  </si>
  <si>
    <t xml:space="preserve">ZONA INDUSTRIAL LAS MINAS </t>
  </si>
  <si>
    <t>VGT-2023.-P-693</t>
  </si>
  <si>
    <t>R-30</t>
  </si>
  <si>
    <t>ZONA INDUSTRIAL EL ORO</t>
  </si>
  <si>
    <t>VGT-2023.-P-694</t>
  </si>
  <si>
    <t>R-31</t>
  </si>
  <si>
    <t>PALO ALTO</t>
  </si>
  <si>
    <t>VGT-2023.-P-695</t>
  </si>
  <si>
    <t>R-32</t>
  </si>
  <si>
    <t xml:space="preserve">ALBERTO RAVEL </t>
  </si>
  <si>
    <t>VGT-2023-P-696</t>
  </si>
  <si>
    <t>R-33</t>
  </si>
  <si>
    <t xml:space="preserve">GUAREMAL </t>
  </si>
  <si>
    <t>VGT-2023-P-767</t>
  </si>
  <si>
    <t>R-34</t>
  </si>
  <si>
    <t xml:space="preserve">QUEBRADA LA VIRGEN </t>
  </si>
  <si>
    <t>VGT-2023-P-768</t>
  </si>
  <si>
    <t>R-35</t>
  </si>
  <si>
    <t>EL BARBECHO</t>
  </si>
  <si>
    <t>VGT-2023-P-769</t>
  </si>
  <si>
    <t>R 36</t>
  </si>
  <si>
    <t xml:space="preserve">CARRETERA VIEJA LOS TEQUES ACTUALIZADA </t>
  </si>
  <si>
    <t>VGT-2023-P-770</t>
  </si>
  <si>
    <t>VERIFICAR DIFERENCIAS ENTRE PLANOS Y MEMORIA DESCRIPTIVA</t>
  </si>
  <si>
    <t>R 37</t>
  </si>
  <si>
    <t>CENTRO MÉDICO EL PASO-TAMBOR</t>
  </si>
  <si>
    <t>VGT-2023-P-771</t>
  </si>
  <si>
    <t xml:space="preserve">R 38 </t>
  </si>
  <si>
    <t xml:space="preserve">RAMO VERDE ACTUALIZADA </t>
  </si>
  <si>
    <t>VGT-2023-P-772</t>
  </si>
  <si>
    <t>R 39</t>
  </si>
  <si>
    <t xml:space="preserve">SAN DIEGO DE LOS ALTOS </t>
  </si>
  <si>
    <t>VGT-2023-P-773</t>
  </si>
  <si>
    <t>R 40</t>
  </si>
  <si>
    <t>IGLESIA SAN ANTONIO-AMARILLO</t>
  </si>
  <si>
    <t>VGT-2023-P-774</t>
  </si>
  <si>
    <t>NO</t>
  </si>
  <si>
    <t>R 41</t>
  </si>
  <si>
    <t xml:space="preserve">GUADALUPE </t>
  </si>
  <si>
    <t>VGT-2023-P-775</t>
  </si>
  <si>
    <t>R 42</t>
  </si>
  <si>
    <t xml:space="preserve">YERBA BUENA </t>
  </si>
  <si>
    <t>VGT-2023-P-776</t>
  </si>
  <si>
    <t>R 43</t>
  </si>
  <si>
    <t xml:space="preserve">EL TAMBOR </t>
  </si>
  <si>
    <t>VGT-2023-P-777</t>
  </si>
  <si>
    <t>R 44</t>
  </si>
  <si>
    <t>PACHECO</t>
  </si>
  <si>
    <t>VGT-2023-P-778</t>
  </si>
  <si>
    <t>R45</t>
  </si>
  <si>
    <t>CUMBRE ROJA ACTUALIZADA</t>
  </si>
  <si>
    <t>VGT-2023-P-1007</t>
  </si>
  <si>
    <t>R46</t>
  </si>
  <si>
    <t>SAN PEDRO ACTUALIZADA</t>
  </si>
  <si>
    <t>VGT-2023-P-1142</t>
  </si>
  <si>
    <t>R47</t>
  </si>
  <si>
    <t xml:space="preserve">COLINAS DEL ANGEL ACTUALIZADA </t>
  </si>
  <si>
    <t>VGT-2023-P-1143</t>
  </si>
  <si>
    <t>R48</t>
  </si>
  <si>
    <t>ALTO VERDE /POR IMPRIMIR</t>
  </si>
  <si>
    <t>R49</t>
  </si>
  <si>
    <t>MACARENA-LOS CERRITOS /POR IMPRIMIR</t>
  </si>
  <si>
    <t>VGT-2024-P-326</t>
  </si>
  <si>
    <t>R50</t>
  </si>
  <si>
    <t xml:space="preserve">CUMBRE ROJA TEJERÍAS </t>
  </si>
  <si>
    <t>VGT-2024-P-429</t>
  </si>
  <si>
    <t>R51</t>
  </si>
  <si>
    <t xml:space="preserve">LOS CASTORES </t>
  </si>
  <si>
    <t>VGT-2024-P-513</t>
  </si>
  <si>
    <t xml:space="preserve">R 52 </t>
  </si>
  <si>
    <t xml:space="preserve">SAN ANTONIO DE LOS ALTOS- AVENIDA SOUBLETTE </t>
  </si>
  <si>
    <t>NO FACTIBLE POR S/P</t>
  </si>
  <si>
    <t>-</t>
  </si>
  <si>
    <t xml:space="preserve">R 53 </t>
  </si>
  <si>
    <t>ENTRADA DE LA VEGA-CATIA /POR IMPRIMIR</t>
  </si>
  <si>
    <t>VGT-2024-P-699</t>
  </si>
  <si>
    <t>R 54</t>
  </si>
  <si>
    <t>CATIA-AVENIDA SOUBLETTE /POR IMPRIMIR</t>
  </si>
  <si>
    <t>VGT-2024-P-NH-35</t>
  </si>
  <si>
    <t>R 55</t>
  </si>
  <si>
    <t xml:space="preserve">SAN ANTONIO DE LOS ALTOS-ENTRADA DE LA VEGA </t>
  </si>
  <si>
    <t>VGT-2024-P-1088</t>
  </si>
  <si>
    <t xml:space="preserve">R 56 </t>
  </si>
  <si>
    <t>CORRALITO KM 18 NO FACTIBLE / NO HAY OFERTA COMERCIAL</t>
  </si>
  <si>
    <t>VGT-2024-P-1206</t>
  </si>
  <si>
    <t>R 57</t>
  </si>
  <si>
    <t>LAGUNETICA /POR IMPRIMIR</t>
  </si>
  <si>
    <t>VGT-2024-P-1438</t>
  </si>
  <si>
    <t>R 58</t>
  </si>
  <si>
    <t>PUENTE CARRIZAL MONTAÑA ALTA (ACT. R56)</t>
  </si>
  <si>
    <t>REVISAR NUMERO DE RUTA</t>
  </si>
  <si>
    <t>R 59</t>
  </si>
  <si>
    <t xml:space="preserve">COLISEO PUENTE CARRIZAL </t>
  </si>
  <si>
    <t>VGT-2024-P-2411</t>
  </si>
  <si>
    <t>R 60</t>
  </si>
  <si>
    <t xml:space="preserve">SANTO DOMINGO- TRAPICHE </t>
  </si>
  <si>
    <t>VGT-P-2024-1720</t>
  </si>
  <si>
    <t>R 61</t>
  </si>
  <si>
    <t>EL VALLE ETAPA 1</t>
  </si>
  <si>
    <t>VGT-2024-P-1750</t>
  </si>
  <si>
    <t>R 62</t>
  </si>
  <si>
    <t xml:space="preserve">PUEBLO DE TEJERÍAS-SANTO DOMINGO </t>
  </si>
  <si>
    <t>VGT-2024-P-1751</t>
  </si>
  <si>
    <t xml:space="preserve">R 63 </t>
  </si>
  <si>
    <t>EL PICACHO COCHE /POR IMPRIMIR</t>
  </si>
  <si>
    <t>R 64</t>
  </si>
  <si>
    <t xml:space="preserve">CORRALITO -PAN DE AZUCAR </t>
  </si>
  <si>
    <t>VGT-2024-P-1767</t>
  </si>
  <si>
    <t>R 65</t>
  </si>
  <si>
    <t>MONTAÑA ALTA- COLINAS DE CARRIZAL</t>
  </si>
  <si>
    <t>VGT-2024-P-1851</t>
  </si>
  <si>
    <t>R 66</t>
  </si>
  <si>
    <t>POZO DE ROSAS /POR IMPRIMIR</t>
  </si>
  <si>
    <t>VGT-2024-P-1983</t>
  </si>
  <si>
    <t>R 67</t>
  </si>
  <si>
    <t>EL VALLE ETAPA 2</t>
  </si>
  <si>
    <t>VGT-2024-P-1956</t>
  </si>
  <si>
    <t>R 68</t>
  </si>
  <si>
    <t>URB. PIEDRA AZUL/ FALTA AUTORIZACION</t>
  </si>
  <si>
    <t>VGT-2024-P-2270</t>
  </si>
  <si>
    <t>R 69</t>
  </si>
  <si>
    <t>TRAMO SUBTERRÁNEO EL VALLE DESCARTADO/POR IMPRIMIR</t>
  </si>
  <si>
    <t>VGT-2024-P-680</t>
  </si>
  <si>
    <t>R 70</t>
  </si>
  <si>
    <t>LA VEGA KM 0/FALTA AUTORIZCION</t>
  </si>
  <si>
    <t xml:space="preserve">VGT-2025-P-131 </t>
  </si>
  <si>
    <t>R 71</t>
  </si>
  <si>
    <t>LA VEGA FASE 2</t>
  </si>
  <si>
    <t>VGT-2025-P-2076</t>
  </si>
  <si>
    <t>R 72</t>
  </si>
  <si>
    <t>VEREDAS DE COCHE</t>
  </si>
  <si>
    <t>VGT-2025-P-2136</t>
  </si>
  <si>
    <t>R 73</t>
  </si>
  <si>
    <t xml:space="preserve">23 DE ENERO- DERIVACIONES CATIA </t>
  </si>
  <si>
    <t>VGT-2025-P-2415</t>
  </si>
  <si>
    <t>R 74</t>
  </si>
  <si>
    <t>DERIVACIONES LAS ADJUNTAS- CARICUAO</t>
  </si>
  <si>
    <t>VGT-2025-P-2416</t>
  </si>
  <si>
    <t xml:space="preserve">PARTIDA </t>
  </si>
  <si>
    <t>UNIDAD</t>
  </si>
  <si>
    <t xml:space="preserve">CANTIDAD </t>
  </si>
  <si>
    <t xml:space="preserve">Suministro, transporte e instalación de tapa de tanquilla faltante para Boquerón 1 incluye tronillos de fijación </t>
  </si>
  <si>
    <t>unid</t>
  </si>
  <si>
    <t xml:space="preserve">Construcción de tanquillas Tipo A (1.20x0.6) incluye tapa con tronillos de fijación </t>
  </si>
  <si>
    <t xml:space="preserve">unid </t>
  </si>
  <si>
    <t xml:space="preserve">Construcción de cruce a media calzada para colocación de 2 tubos de diámetro 4” incluye cerramiento de zanja con concreto de fraguado rápido </t>
  </si>
  <si>
    <t>ml</t>
  </si>
  <si>
    <t xml:space="preserve">Suministro, transporte y colocación de poste 9m </t>
  </si>
  <si>
    <t xml:space="preserve">Supervisón de cierre  final de obra con el MPPT </t>
  </si>
  <si>
    <t>sg</t>
  </si>
  <si>
    <t xml:space="preserve">Rutas </t>
  </si>
  <si>
    <t xml:space="preserve">El Valle etapa 1 y 2 </t>
  </si>
  <si>
    <t>Proyecto Catia completo</t>
  </si>
  <si>
    <t xml:space="preserve">Proyecto Coche Completo </t>
  </si>
  <si>
    <t>La Vega fase 2</t>
  </si>
  <si>
    <t xml:space="preserve">Ruiz Pineda Caricuao </t>
  </si>
  <si>
    <t xml:space="preserve">Las Adjuntas el Tambor </t>
  </si>
  <si>
    <t>#</t>
  </si>
  <si>
    <t>RUTA</t>
  </si>
  <si>
    <t>POSTES</t>
  </si>
  <si>
    <t xml:space="preserve">ESTATUS </t>
  </si>
  <si>
    <t xml:space="preserve">F. ENTREGA </t>
  </si>
  <si>
    <t>VGT-2024-P-1720</t>
  </si>
  <si>
    <t>POR INSPECCIÓN</t>
  </si>
  <si>
    <t xml:space="preserve">EL VALLE </t>
  </si>
  <si>
    <t>SANTO DOMINGO-PUEBLO DE TEJERÍAS</t>
  </si>
  <si>
    <t xml:space="preserve">LAGUNETICA </t>
  </si>
  <si>
    <t xml:space="preserve">POR AUTORIZACIÓN </t>
  </si>
  <si>
    <t xml:space="preserve">CUMBRE ROJA TEJERIAS </t>
  </si>
  <si>
    <t xml:space="preserve">VGT-2024-P-429 </t>
  </si>
  <si>
    <r>
      <rPr>
        <rFont val="Calibri"/>
        <b/>
        <color theme="1"/>
        <sz val="11.0"/>
      </rPr>
      <t xml:space="preserve">OCP-270824-552 </t>
    </r>
    <r>
      <rPr>
        <rFont val="Calibri"/>
        <b val="0"/>
        <color theme="1"/>
        <sz val="11.0"/>
      </rPr>
      <t xml:space="preserve">Solicitud </t>
    </r>
    <r>
      <rPr>
        <rFont val="Calibri"/>
        <b/>
        <color theme="1"/>
        <sz val="11.0"/>
      </rPr>
      <t>VGT-2023-P-770, 772, 773, 1142, 1143</t>
    </r>
  </si>
  <si>
    <t xml:space="preserve">ESTAS VGT SON ACTUALIZACIONES YA INSPECCIONADAS APROBADAS PERO NECESITAMOS LA AUTORIZACIÓN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</si>
</sst>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Calibri"/>
    </font>
    <font/>
    <font>
      <b/>
      <sz val="9.0"/>
      <color theme="1"/>
      <name val="Arial"/>
    </font>
    <font>
      <sz val="11.0"/>
      <color rgb="FF000000"/>
      <name val="Calibri"/>
    </font>
    <font>
      <color theme="1"/>
      <name val="Calibri"/>
      <scheme val="minor"/>
    </font>
    <font>
      <b/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C2C2C2"/>
        <bgColor rgb="FFC2C2C2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28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medium">
        <color rgb="FF000000"/>
      </left>
      <right/>
      <top/>
      <bottom/>
    </border>
    <border>
      <left/>
      <right/>
      <top style="thin">
        <color rgb="FF000000"/>
      </top>
      <bottom/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3" numFmtId="49" xfId="0" applyAlignment="1" applyBorder="1" applyFill="1" applyFont="1" applyNumberFormat="1">
      <alignment horizontal="center" shrinkToFit="0" wrapText="1"/>
    </xf>
    <xf borderId="5" fillId="3" fontId="3" numFmtId="0" xfId="0" applyAlignment="1" applyBorder="1" applyFont="1">
      <alignment horizontal="center" vertical="center"/>
    </xf>
    <xf borderId="6" fillId="0" fontId="2" numFmtId="0" xfId="0" applyBorder="1" applyFont="1"/>
    <xf borderId="7" fillId="3" fontId="3" numFmtId="0" xfId="0" applyAlignment="1" applyBorder="1" applyFont="1">
      <alignment horizontal="center" vertical="center"/>
    </xf>
    <xf borderId="7" fillId="3" fontId="3" numFmtId="49" xfId="0" applyAlignment="1" applyBorder="1" applyFont="1" applyNumberFormat="1">
      <alignment horizontal="center" shrinkToFit="0" wrapText="1"/>
    </xf>
    <xf borderId="8" fillId="3" fontId="3" numFmtId="49" xfId="0" applyAlignment="1" applyBorder="1" applyFont="1" applyNumberFormat="1">
      <alignment horizontal="center" shrinkToFit="0" wrapText="1"/>
    </xf>
    <xf borderId="0" fillId="0" fontId="1" numFmtId="0" xfId="0" applyAlignment="1" applyFont="1">
      <alignment horizontal="center" shrinkToFit="0" vertical="center" wrapText="1"/>
    </xf>
    <xf borderId="9" fillId="4" fontId="1" numFmtId="0" xfId="0" applyAlignment="1" applyBorder="1" applyFill="1" applyFont="1">
      <alignment horizontal="center"/>
    </xf>
    <xf borderId="10" fillId="4" fontId="1" numFmtId="0" xfId="0" applyAlignment="1" applyBorder="1" applyFont="1">
      <alignment horizontal="left"/>
    </xf>
    <xf borderId="11" fillId="0" fontId="2" numFmtId="0" xfId="0" applyBorder="1" applyFont="1"/>
    <xf borderId="12" fillId="4" fontId="4" numFmtId="0" xfId="0" applyAlignment="1" applyBorder="1" applyFont="1">
      <alignment horizontal="center" vertical="center"/>
    </xf>
    <xf borderId="13" fillId="4" fontId="4" numFmtId="0" xfId="0" applyAlignment="1" applyBorder="1" applyFont="1">
      <alignment horizontal="center" vertical="center"/>
    </xf>
    <xf borderId="12" fillId="4" fontId="1" numFmtId="2" xfId="0" applyAlignment="1" applyBorder="1" applyFont="1" applyNumberFormat="1">
      <alignment horizontal="center"/>
    </xf>
    <xf borderId="12" fillId="4" fontId="1" numFmtId="0" xfId="0" applyAlignment="1" applyBorder="1" applyFont="1">
      <alignment horizontal="center"/>
    </xf>
    <xf borderId="12" fillId="0" fontId="1" numFmtId="0" xfId="0" applyAlignment="1" applyBorder="1" applyFont="1">
      <alignment horizontal="center"/>
    </xf>
    <xf borderId="14" fillId="0" fontId="1" numFmtId="14" xfId="0" applyBorder="1" applyFont="1" applyNumberFormat="1"/>
    <xf borderId="0" fillId="0" fontId="5" numFmtId="0" xfId="0" applyFont="1"/>
    <xf borderId="12" fillId="0" fontId="1" numFmtId="14" xfId="0" applyAlignment="1" applyBorder="1" applyFont="1" applyNumberFormat="1">
      <alignment horizontal="center"/>
    </xf>
    <xf borderId="15" fillId="4" fontId="1" numFmtId="0" xfId="0" applyAlignment="1" applyBorder="1" applyFont="1">
      <alignment horizontal="center"/>
    </xf>
    <xf borderId="12" fillId="5" fontId="1" numFmtId="14" xfId="0" applyAlignment="1" applyBorder="1" applyFill="1" applyFont="1" applyNumberFormat="1">
      <alignment horizontal="center"/>
    </xf>
    <xf borderId="14" fillId="5" fontId="1" numFmtId="14" xfId="0" applyBorder="1" applyFont="1" applyNumberFormat="1"/>
    <xf borderId="16" fillId="5" fontId="1" numFmtId="0" xfId="0" applyAlignment="1" applyBorder="1" applyFont="1">
      <alignment horizontal="center" shrinkToFit="0" wrapText="1"/>
    </xf>
    <xf borderId="17" fillId="0" fontId="2" numFmtId="0" xfId="0" applyBorder="1" applyFont="1"/>
    <xf borderId="18" fillId="0" fontId="2" numFmtId="0" xfId="0" applyBorder="1" applyFont="1"/>
    <xf borderId="12" fillId="6" fontId="1" numFmtId="14" xfId="0" applyAlignment="1" applyBorder="1" applyFill="1" applyFont="1" applyNumberFormat="1">
      <alignment horizontal="center"/>
    </xf>
    <xf borderId="19" fillId="5" fontId="1" numFmtId="0" xfId="0" applyBorder="1" applyFont="1"/>
    <xf borderId="20" fillId="4" fontId="1" numFmtId="0" xfId="0" applyAlignment="1" applyBorder="1" applyFont="1">
      <alignment horizontal="center"/>
    </xf>
    <xf borderId="21" fillId="4" fontId="1" numFmtId="0" xfId="0" applyAlignment="1" applyBorder="1" applyFont="1">
      <alignment horizontal="center"/>
    </xf>
    <xf borderId="22" fillId="4" fontId="1" numFmtId="0" xfId="0" applyAlignment="1" applyBorder="1" applyFont="1">
      <alignment horizontal="center"/>
    </xf>
    <xf borderId="23" fillId="4" fontId="1" numFmtId="0" xfId="0" applyAlignment="1" applyBorder="1" applyFont="1">
      <alignment horizontal="center"/>
    </xf>
    <xf borderId="24" fillId="0" fontId="1" numFmtId="14" xfId="0" applyBorder="1" applyFont="1" applyNumberFormat="1"/>
    <xf borderId="12" fillId="5" fontId="1" numFmtId="0" xfId="0" applyAlignment="1" applyBorder="1" applyFont="1">
      <alignment horizontal="center"/>
    </xf>
    <xf borderId="25" fillId="5" fontId="1" numFmtId="14" xfId="0" applyBorder="1" applyFont="1" applyNumberFormat="1"/>
    <xf borderId="16" fillId="5" fontId="1" numFmtId="0" xfId="0" applyAlignment="1" applyBorder="1" applyFont="1">
      <alignment horizontal="center"/>
    </xf>
    <xf borderId="26" fillId="4" fontId="1" numFmtId="0" xfId="0" applyAlignment="1" applyBorder="1" applyFont="1">
      <alignment horizontal="left"/>
    </xf>
    <xf borderId="24" fillId="0" fontId="1" numFmtId="0" xfId="0" applyBorder="1" applyFont="1"/>
    <xf borderId="12" fillId="4" fontId="1" numFmtId="0" xfId="0" applyAlignment="1" applyBorder="1" applyFont="1">
      <alignment horizontal="center" shrinkToFit="0" wrapText="1"/>
    </xf>
    <xf borderId="12" fillId="4" fontId="1" numFmtId="17" xfId="0" applyAlignment="1" applyBorder="1" applyFont="1" applyNumberFormat="1">
      <alignment horizontal="center"/>
    </xf>
    <xf borderId="12" fillId="0" fontId="1" numFmtId="0" xfId="0" applyBorder="1" applyFont="1"/>
    <xf borderId="12" fillId="4" fontId="1" numFmtId="0" xfId="0" applyBorder="1" applyFont="1"/>
    <xf borderId="19" fillId="4" fontId="1" numFmtId="0" xfId="0" applyBorder="1" applyFont="1"/>
    <xf borderId="12" fillId="0" fontId="1" numFmtId="0" xfId="0" applyAlignment="1" applyBorder="1" applyFont="1">
      <alignment shrinkToFit="0" wrapText="1"/>
    </xf>
    <xf borderId="12" fillId="0" fontId="6" numFmtId="0" xfId="0" applyAlignment="1" applyBorder="1" applyFont="1">
      <alignment horizontal="center"/>
    </xf>
    <xf borderId="10" fillId="4" fontId="6" numFmtId="0" xfId="0" applyAlignment="1" applyBorder="1" applyFont="1">
      <alignment horizontal="center"/>
    </xf>
    <xf borderId="12" fillId="4" fontId="6" numFmtId="0" xfId="0" applyAlignment="1" applyBorder="1" applyFont="1">
      <alignment horizontal="center"/>
    </xf>
    <xf borderId="27" fillId="0" fontId="6" numFmtId="0" xfId="0" applyAlignment="1" applyBorder="1" applyFont="1">
      <alignment horizontal="center"/>
    </xf>
    <xf borderId="27" fillId="0" fontId="1" numFmtId="0" xfId="0" applyAlignment="1" applyBorder="1" applyFont="1">
      <alignment horizontal="center"/>
    </xf>
    <xf borderId="0" fillId="0" fontId="6" numFmtId="0" xfId="0" applyFont="1"/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38200" cy="7239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4.57"/>
    <col customWidth="1" min="2" max="2" width="10.71"/>
    <col customWidth="1" min="3" max="3" width="81.43"/>
    <col customWidth="1" min="4" max="4" width="19.57"/>
    <col customWidth="1" min="5" max="5" width="12.86"/>
    <col customWidth="1" min="6" max="8" width="13.43"/>
    <col customWidth="1" min="9" max="9" width="15.0"/>
    <col customWidth="1" min="10" max="26" width="10.71"/>
  </cols>
  <sheetData>
    <row r="1" ht="14.25" customHeight="1"/>
    <row r="2" ht="14.25" customHeight="1">
      <c r="A2" s="1" t="s">
        <v>0</v>
      </c>
      <c r="B2" s="2"/>
      <c r="C2" s="2"/>
      <c r="D2" s="2"/>
      <c r="E2" s="2"/>
      <c r="F2" s="2"/>
      <c r="G2" s="2"/>
      <c r="H2" s="2"/>
      <c r="I2" s="3"/>
    </row>
    <row r="3" ht="14.25" customHeight="1"/>
    <row r="4" ht="14.25" customHeight="1"/>
    <row r="5" ht="14.25" customHeight="1">
      <c r="A5" s="4" t="s">
        <v>1</v>
      </c>
      <c r="B5" s="5" t="s">
        <v>2</v>
      </c>
      <c r="C5" s="6"/>
      <c r="D5" s="7" t="s">
        <v>3</v>
      </c>
      <c r="E5" s="8" t="s">
        <v>4</v>
      </c>
      <c r="F5" s="8" t="s">
        <v>5</v>
      </c>
      <c r="G5" s="8" t="s">
        <v>6</v>
      </c>
      <c r="H5" s="8" t="s">
        <v>7</v>
      </c>
      <c r="I5" s="9" t="s">
        <v>8</v>
      </c>
      <c r="M5" s="10" t="s">
        <v>9</v>
      </c>
    </row>
    <row r="6" ht="14.25" customHeight="1">
      <c r="A6" s="11" t="s">
        <v>10</v>
      </c>
      <c r="B6" s="12" t="s">
        <v>11</v>
      </c>
      <c r="C6" s="13"/>
      <c r="D6" s="14" t="s">
        <v>12</v>
      </c>
      <c r="E6" s="15">
        <v>21.0</v>
      </c>
      <c r="F6" s="16" t="s">
        <v>13</v>
      </c>
      <c r="G6" s="17" t="s">
        <v>14</v>
      </c>
      <c r="H6" s="18"/>
      <c r="I6" s="19">
        <v>45048.0</v>
      </c>
      <c r="M6" s="20">
        <v>0.68</v>
      </c>
    </row>
    <row r="7" ht="14.25" customHeight="1">
      <c r="A7" s="11" t="s">
        <v>15</v>
      </c>
      <c r="B7" s="12" t="s">
        <v>16</v>
      </c>
      <c r="C7" s="13"/>
      <c r="D7" s="17" t="s">
        <v>17</v>
      </c>
      <c r="E7" s="17">
        <v>50.0</v>
      </c>
      <c r="F7" s="16" t="s">
        <v>13</v>
      </c>
      <c r="G7" s="17" t="s">
        <v>14</v>
      </c>
      <c r="H7" s="18"/>
      <c r="I7" s="19">
        <v>45048.0</v>
      </c>
      <c r="M7" s="20">
        <v>5.51</v>
      </c>
    </row>
    <row r="8" ht="14.25" customHeight="1">
      <c r="A8" s="11" t="s">
        <v>18</v>
      </c>
      <c r="B8" s="12" t="s">
        <v>19</v>
      </c>
      <c r="C8" s="13"/>
      <c r="D8" s="17" t="s">
        <v>20</v>
      </c>
      <c r="E8" s="17">
        <v>8.0</v>
      </c>
      <c r="F8" s="16" t="s">
        <v>13</v>
      </c>
      <c r="G8" s="17" t="s">
        <v>14</v>
      </c>
      <c r="H8" s="18"/>
      <c r="I8" s="19">
        <v>45048.0</v>
      </c>
      <c r="M8" s="20">
        <v>0.31</v>
      </c>
    </row>
    <row r="9" ht="14.25" customHeight="1">
      <c r="A9" s="11" t="s">
        <v>21</v>
      </c>
      <c r="B9" s="12" t="s">
        <v>22</v>
      </c>
      <c r="C9" s="13"/>
      <c r="D9" s="17" t="s">
        <v>23</v>
      </c>
      <c r="E9" s="17">
        <v>19.0</v>
      </c>
      <c r="F9" s="16" t="s">
        <v>13</v>
      </c>
      <c r="G9" s="17" t="s">
        <v>14</v>
      </c>
      <c r="H9" s="18"/>
      <c r="I9" s="19">
        <v>45048.0</v>
      </c>
      <c r="M9" s="20">
        <v>0.8</v>
      </c>
    </row>
    <row r="10" ht="14.25" customHeight="1">
      <c r="A10" s="11" t="s">
        <v>24</v>
      </c>
      <c r="B10" s="12" t="s">
        <v>25</v>
      </c>
      <c r="C10" s="13"/>
      <c r="D10" s="17" t="s">
        <v>26</v>
      </c>
      <c r="E10" s="17">
        <v>42.0</v>
      </c>
      <c r="F10" s="16" t="s">
        <v>13</v>
      </c>
      <c r="G10" s="17" t="s">
        <v>14</v>
      </c>
      <c r="H10" s="18"/>
      <c r="I10" s="19">
        <v>45048.0</v>
      </c>
      <c r="M10" s="20">
        <v>1.15</v>
      </c>
    </row>
    <row r="11" ht="14.25" customHeight="1">
      <c r="A11" s="11" t="s">
        <v>27</v>
      </c>
      <c r="B11" s="12" t="s">
        <v>28</v>
      </c>
      <c r="C11" s="13"/>
      <c r="D11" s="17" t="s">
        <v>29</v>
      </c>
      <c r="E11" s="17">
        <v>434.0</v>
      </c>
      <c r="F11" s="16" t="s">
        <v>13</v>
      </c>
      <c r="G11" s="17" t="s">
        <v>14</v>
      </c>
      <c r="H11" s="18"/>
      <c r="I11" s="19">
        <v>45048.0</v>
      </c>
      <c r="M11" s="20">
        <v>11.7</v>
      </c>
    </row>
    <row r="12" ht="14.25" customHeight="1">
      <c r="A12" s="11" t="s">
        <v>30</v>
      </c>
      <c r="B12" s="12" t="s">
        <v>31</v>
      </c>
      <c r="C12" s="13"/>
      <c r="D12" s="17" t="s">
        <v>32</v>
      </c>
      <c r="E12" s="17">
        <v>88.0</v>
      </c>
      <c r="F12" s="16" t="s">
        <v>13</v>
      </c>
      <c r="G12" s="17" t="s">
        <v>14</v>
      </c>
      <c r="H12" s="18"/>
      <c r="I12" s="19">
        <v>45048.0</v>
      </c>
      <c r="M12" s="20">
        <v>5.08</v>
      </c>
    </row>
    <row r="13" ht="14.25" customHeight="1">
      <c r="A13" s="11" t="s">
        <v>33</v>
      </c>
      <c r="B13" s="12" t="s">
        <v>34</v>
      </c>
      <c r="C13" s="13"/>
      <c r="D13" s="17" t="s">
        <v>35</v>
      </c>
      <c r="E13" s="17">
        <v>247.0</v>
      </c>
      <c r="F13" s="16" t="s">
        <v>13</v>
      </c>
      <c r="G13" s="17" t="s">
        <v>14</v>
      </c>
      <c r="H13" s="18"/>
      <c r="I13" s="19">
        <v>45048.0</v>
      </c>
      <c r="M13" s="20">
        <v>7.44</v>
      </c>
    </row>
    <row r="14" ht="14.25" customHeight="1">
      <c r="A14" s="11" t="s">
        <v>36</v>
      </c>
      <c r="B14" s="12" t="s">
        <v>37</v>
      </c>
      <c r="C14" s="13"/>
      <c r="D14" s="17" t="s">
        <v>35</v>
      </c>
      <c r="E14" s="17">
        <v>75.0</v>
      </c>
      <c r="F14" s="16" t="s">
        <v>13</v>
      </c>
      <c r="G14" s="17" t="s">
        <v>14</v>
      </c>
      <c r="H14" s="21">
        <v>45111.0</v>
      </c>
      <c r="I14" s="19">
        <v>45048.0</v>
      </c>
      <c r="M14" s="20">
        <v>3.0</v>
      </c>
    </row>
    <row r="15" ht="14.25" customHeight="1">
      <c r="A15" s="11" t="s">
        <v>38</v>
      </c>
      <c r="B15" s="12" t="s">
        <v>39</v>
      </c>
      <c r="C15" s="13"/>
      <c r="D15" s="17" t="s">
        <v>40</v>
      </c>
      <c r="E15" s="17">
        <v>19.0</v>
      </c>
      <c r="F15" s="16" t="s">
        <v>13</v>
      </c>
      <c r="G15" s="17" t="s">
        <v>14</v>
      </c>
      <c r="H15" s="21">
        <v>45111.0</v>
      </c>
      <c r="I15" s="19">
        <v>45048.0</v>
      </c>
      <c r="M15" s="20">
        <v>0.55</v>
      </c>
    </row>
    <row r="16" ht="14.25" customHeight="1">
      <c r="A16" s="11" t="s">
        <v>41</v>
      </c>
      <c r="B16" s="12" t="s">
        <v>42</v>
      </c>
      <c r="C16" s="13"/>
      <c r="D16" s="17" t="s">
        <v>29</v>
      </c>
      <c r="E16" s="17">
        <v>115.0</v>
      </c>
      <c r="F16" s="16" t="s">
        <v>13</v>
      </c>
      <c r="G16" s="17" t="s">
        <v>14</v>
      </c>
      <c r="H16" s="18"/>
      <c r="I16" s="19">
        <v>45048.0</v>
      </c>
    </row>
    <row r="17" ht="14.25" customHeight="1">
      <c r="A17" s="11" t="s">
        <v>43</v>
      </c>
      <c r="B17" s="12" t="s">
        <v>44</v>
      </c>
      <c r="C17" s="13"/>
      <c r="D17" s="17" t="s">
        <v>45</v>
      </c>
      <c r="E17" s="17">
        <v>15.0</v>
      </c>
      <c r="F17" s="16" t="s">
        <v>13</v>
      </c>
      <c r="G17" s="17" t="s">
        <v>14</v>
      </c>
      <c r="H17" s="21">
        <v>45111.0</v>
      </c>
      <c r="I17" s="19">
        <v>45048.0</v>
      </c>
      <c r="M17" s="20">
        <v>4.4</v>
      </c>
    </row>
    <row r="18" ht="14.25" customHeight="1">
      <c r="A18" s="11" t="s">
        <v>46</v>
      </c>
      <c r="B18" s="12" t="s">
        <v>47</v>
      </c>
      <c r="C18" s="13"/>
      <c r="D18" s="22" t="s">
        <v>48</v>
      </c>
      <c r="E18" s="17">
        <v>38.0</v>
      </c>
      <c r="F18" s="16" t="s">
        <v>13</v>
      </c>
      <c r="G18" s="17" t="s">
        <v>14</v>
      </c>
      <c r="H18" s="18"/>
      <c r="I18" s="19">
        <v>45048.0</v>
      </c>
      <c r="M18" s="20">
        <v>1.21</v>
      </c>
    </row>
    <row r="19" ht="14.25" customHeight="1">
      <c r="A19" s="11" t="s">
        <v>49</v>
      </c>
      <c r="B19" s="12" t="s">
        <v>50</v>
      </c>
      <c r="C19" s="13"/>
      <c r="D19" s="17" t="s">
        <v>51</v>
      </c>
      <c r="E19" s="17">
        <v>66.0</v>
      </c>
      <c r="F19" s="16" t="s">
        <v>13</v>
      </c>
      <c r="G19" s="17" t="s">
        <v>14</v>
      </c>
      <c r="H19" s="21">
        <v>45111.0</v>
      </c>
      <c r="I19" s="19">
        <v>45048.0</v>
      </c>
      <c r="M19" s="20">
        <v>2.21</v>
      </c>
    </row>
    <row r="20" ht="14.25" customHeight="1">
      <c r="A20" s="11" t="s">
        <v>52</v>
      </c>
      <c r="B20" s="12" t="s">
        <v>53</v>
      </c>
      <c r="C20" s="13"/>
      <c r="D20" s="17" t="s">
        <v>54</v>
      </c>
      <c r="E20" s="17">
        <v>82.0</v>
      </c>
      <c r="F20" s="16" t="s">
        <v>14</v>
      </c>
      <c r="G20" s="17" t="s">
        <v>14</v>
      </c>
      <c r="H20" s="21">
        <v>45111.0</v>
      </c>
      <c r="I20" s="19">
        <v>45048.0</v>
      </c>
      <c r="M20" s="20">
        <v>3.2</v>
      </c>
    </row>
    <row r="21" ht="14.25" customHeight="1">
      <c r="A21" s="11" t="s">
        <v>55</v>
      </c>
      <c r="B21" s="12" t="s">
        <v>56</v>
      </c>
      <c r="C21" s="13"/>
      <c r="D21" s="17" t="s">
        <v>57</v>
      </c>
      <c r="E21" s="17">
        <v>35.0</v>
      </c>
      <c r="F21" s="16" t="s">
        <v>13</v>
      </c>
      <c r="G21" s="17" t="s">
        <v>14</v>
      </c>
      <c r="H21" s="21">
        <v>45111.0</v>
      </c>
      <c r="I21" s="19">
        <v>45048.0</v>
      </c>
      <c r="M21" s="20">
        <v>1.3</v>
      </c>
    </row>
    <row r="22" ht="14.25" customHeight="1">
      <c r="A22" s="11" t="s">
        <v>58</v>
      </c>
      <c r="B22" s="12" t="s">
        <v>59</v>
      </c>
      <c r="C22" s="13"/>
      <c r="D22" s="17" t="s">
        <v>60</v>
      </c>
      <c r="E22" s="17">
        <v>36.0</v>
      </c>
      <c r="F22" s="16" t="s">
        <v>13</v>
      </c>
      <c r="G22" s="17" t="s">
        <v>14</v>
      </c>
      <c r="H22" s="21">
        <v>45111.0</v>
      </c>
      <c r="I22" s="19">
        <v>45048.0</v>
      </c>
      <c r="M22" s="20">
        <v>1.56</v>
      </c>
    </row>
    <row r="23" ht="14.25" customHeight="1">
      <c r="A23" s="11" t="s">
        <v>61</v>
      </c>
      <c r="B23" s="12" t="s">
        <v>62</v>
      </c>
      <c r="C23" s="13"/>
      <c r="D23" s="17" t="s">
        <v>63</v>
      </c>
      <c r="E23" s="17">
        <v>102.0</v>
      </c>
      <c r="F23" s="16" t="s">
        <v>13</v>
      </c>
      <c r="G23" s="17" t="s">
        <v>14</v>
      </c>
      <c r="H23" s="21">
        <v>45111.0</v>
      </c>
      <c r="I23" s="19">
        <v>45051.0</v>
      </c>
      <c r="M23" s="20">
        <v>2.2</v>
      </c>
    </row>
    <row r="24" ht="14.25" customHeight="1">
      <c r="A24" s="11" t="s">
        <v>64</v>
      </c>
      <c r="B24" s="12" t="s">
        <v>65</v>
      </c>
      <c r="C24" s="13"/>
      <c r="D24" s="17" t="s">
        <v>66</v>
      </c>
      <c r="E24" s="17">
        <v>39.0</v>
      </c>
      <c r="F24" s="16" t="s">
        <v>13</v>
      </c>
      <c r="G24" s="17" t="s">
        <v>14</v>
      </c>
      <c r="H24" s="21">
        <v>45111.0</v>
      </c>
      <c r="I24" s="19">
        <v>45051.0</v>
      </c>
      <c r="M24" s="20">
        <v>1.65</v>
      </c>
    </row>
    <row r="25" ht="14.25" customHeight="1">
      <c r="A25" s="11" t="s">
        <v>67</v>
      </c>
      <c r="B25" s="12" t="s">
        <v>68</v>
      </c>
      <c r="C25" s="13"/>
      <c r="D25" s="17" t="s">
        <v>69</v>
      </c>
      <c r="E25" s="17">
        <v>28.0</v>
      </c>
      <c r="F25" s="16" t="s">
        <v>13</v>
      </c>
      <c r="G25" s="17" t="s">
        <v>14</v>
      </c>
      <c r="H25" s="21">
        <v>45111.0</v>
      </c>
      <c r="I25" s="19">
        <v>45051.0</v>
      </c>
      <c r="M25" s="20">
        <v>1.1</v>
      </c>
    </row>
    <row r="26" ht="14.25" customHeight="1">
      <c r="A26" s="11" t="s">
        <v>70</v>
      </c>
      <c r="B26" s="12" t="s">
        <v>71</v>
      </c>
      <c r="C26" s="13"/>
      <c r="D26" s="17" t="s">
        <v>72</v>
      </c>
      <c r="E26" s="17">
        <v>11.0</v>
      </c>
      <c r="F26" s="16" t="s">
        <v>13</v>
      </c>
      <c r="G26" s="17" t="s">
        <v>14</v>
      </c>
      <c r="H26" s="21">
        <v>45111.0</v>
      </c>
      <c r="I26" s="19">
        <v>45051.0</v>
      </c>
      <c r="M26" s="20">
        <v>0.3</v>
      </c>
    </row>
    <row r="27" ht="14.25" customHeight="1">
      <c r="A27" s="11" t="s">
        <v>73</v>
      </c>
      <c r="B27" s="12" t="s">
        <v>74</v>
      </c>
      <c r="C27" s="13"/>
      <c r="D27" s="17" t="s">
        <v>75</v>
      </c>
      <c r="E27" s="17">
        <v>7.0</v>
      </c>
      <c r="F27" s="16" t="s">
        <v>13</v>
      </c>
      <c r="G27" s="17" t="s">
        <v>14</v>
      </c>
      <c r="H27" s="21">
        <v>45111.0</v>
      </c>
      <c r="I27" s="19">
        <v>45051.0</v>
      </c>
      <c r="M27" s="20">
        <v>0.27</v>
      </c>
    </row>
    <row r="28" ht="14.25" customHeight="1">
      <c r="A28" s="11" t="s">
        <v>76</v>
      </c>
      <c r="B28" s="12" t="s">
        <v>77</v>
      </c>
      <c r="C28" s="13"/>
      <c r="D28" s="17" t="s">
        <v>78</v>
      </c>
      <c r="E28" s="17">
        <v>30.0</v>
      </c>
      <c r="F28" s="16" t="s">
        <v>13</v>
      </c>
      <c r="G28" s="17" t="s">
        <v>14</v>
      </c>
      <c r="H28" s="21">
        <v>45111.0</v>
      </c>
      <c r="I28" s="19">
        <v>45051.0</v>
      </c>
      <c r="M28" s="20">
        <v>1.1</v>
      </c>
    </row>
    <row r="29" ht="14.25" customHeight="1">
      <c r="A29" s="11" t="s">
        <v>79</v>
      </c>
      <c r="B29" s="12" t="s">
        <v>80</v>
      </c>
      <c r="C29" s="13"/>
      <c r="D29" s="17" t="s">
        <v>81</v>
      </c>
      <c r="E29" s="17">
        <v>87.0</v>
      </c>
      <c r="F29" s="16" t="s">
        <v>13</v>
      </c>
      <c r="G29" s="17" t="s">
        <v>14</v>
      </c>
      <c r="H29" s="21">
        <v>45111.0</v>
      </c>
      <c r="I29" s="19">
        <v>45051.0</v>
      </c>
      <c r="M29" s="20">
        <v>3.3</v>
      </c>
    </row>
    <row r="30" ht="14.25" customHeight="1">
      <c r="A30" s="11" t="s">
        <v>82</v>
      </c>
      <c r="B30" s="12" t="s">
        <v>83</v>
      </c>
      <c r="C30" s="13"/>
      <c r="D30" s="17" t="s">
        <v>84</v>
      </c>
      <c r="E30" s="17">
        <v>14.0</v>
      </c>
      <c r="F30" s="16" t="s">
        <v>13</v>
      </c>
      <c r="G30" s="17" t="s">
        <v>14</v>
      </c>
      <c r="H30" s="21">
        <v>45111.0</v>
      </c>
      <c r="I30" s="19">
        <v>45051.0</v>
      </c>
      <c r="M30" s="20">
        <v>45.0</v>
      </c>
    </row>
    <row r="31" ht="14.25" customHeight="1">
      <c r="A31" s="11" t="s">
        <v>85</v>
      </c>
      <c r="B31" s="12" t="s">
        <v>86</v>
      </c>
      <c r="C31" s="13"/>
      <c r="D31" s="17" t="s">
        <v>87</v>
      </c>
      <c r="E31" s="17">
        <v>81.0</v>
      </c>
      <c r="F31" s="16" t="s">
        <v>13</v>
      </c>
      <c r="G31" s="17" t="s">
        <v>14</v>
      </c>
      <c r="H31" s="21">
        <v>45111.0</v>
      </c>
      <c r="I31" s="19">
        <v>45058.0</v>
      </c>
      <c r="M31" s="20">
        <v>2.67</v>
      </c>
    </row>
    <row r="32" ht="14.25" customHeight="1">
      <c r="A32" s="11" t="s">
        <v>88</v>
      </c>
      <c r="B32" s="12" t="s">
        <v>89</v>
      </c>
      <c r="C32" s="13"/>
      <c r="D32" s="17" t="s">
        <v>90</v>
      </c>
      <c r="E32" s="17">
        <v>11.0</v>
      </c>
      <c r="F32" s="16" t="s">
        <v>13</v>
      </c>
      <c r="G32" s="17" t="s">
        <v>14</v>
      </c>
      <c r="H32" s="21">
        <v>45111.0</v>
      </c>
      <c r="I32" s="19">
        <v>45058.0</v>
      </c>
      <c r="M32" s="20">
        <v>0.39</v>
      </c>
    </row>
    <row r="33" ht="14.25" customHeight="1">
      <c r="A33" s="11" t="s">
        <v>91</v>
      </c>
      <c r="B33" s="12" t="s">
        <v>92</v>
      </c>
      <c r="C33" s="13"/>
      <c r="D33" s="17" t="s">
        <v>93</v>
      </c>
      <c r="E33" s="17">
        <v>32.0</v>
      </c>
      <c r="F33" s="16" t="s">
        <v>13</v>
      </c>
      <c r="G33" s="17" t="s">
        <v>14</v>
      </c>
      <c r="H33" s="21">
        <v>45111.0</v>
      </c>
      <c r="I33" s="19">
        <v>45058.0</v>
      </c>
      <c r="M33" s="20">
        <v>0.39</v>
      </c>
    </row>
    <row r="34" ht="14.25" customHeight="1">
      <c r="A34" s="11" t="s">
        <v>94</v>
      </c>
      <c r="B34" s="12" t="s">
        <v>95</v>
      </c>
      <c r="C34" s="13"/>
      <c r="D34" s="17" t="s">
        <v>96</v>
      </c>
      <c r="E34" s="17">
        <v>49.0</v>
      </c>
      <c r="F34" s="16" t="s">
        <v>13</v>
      </c>
      <c r="G34" s="17" t="s">
        <v>14</v>
      </c>
      <c r="H34" s="21">
        <v>45111.0</v>
      </c>
      <c r="I34" s="19">
        <v>45065.0</v>
      </c>
      <c r="M34" s="20">
        <v>1.56</v>
      </c>
    </row>
    <row r="35" ht="14.25" customHeight="1">
      <c r="A35" s="11" t="s">
        <v>97</v>
      </c>
      <c r="B35" s="12" t="s">
        <v>98</v>
      </c>
      <c r="C35" s="13"/>
      <c r="D35" s="17" t="s">
        <v>99</v>
      </c>
      <c r="E35" s="17">
        <v>27.0</v>
      </c>
      <c r="F35" s="16" t="s">
        <v>13</v>
      </c>
      <c r="G35" s="17" t="s">
        <v>14</v>
      </c>
      <c r="H35" s="21">
        <v>45111.0</v>
      </c>
      <c r="I35" s="19">
        <v>45065.0</v>
      </c>
      <c r="M35" s="20">
        <v>0.92</v>
      </c>
    </row>
    <row r="36" ht="14.25" customHeight="1">
      <c r="A36" s="11" t="s">
        <v>100</v>
      </c>
      <c r="B36" s="12" t="s">
        <v>101</v>
      </c>
      <c r="C36" s="13"/>
      <c r="D36" s="17" t="s">
        <v>102</v>
      </c>
      <c r="E36" s="17">
        <v>79.0</v>
      </c>
      <c r="F36" s="16" t="s">
        <v>13</v>
      </c>
      <c r="G36" s="17" t="s">
        <v>14</v>
      </c>
      <c r="H36" s="21">
        <v>45111.0</v>
      </c>
      <c r="I36" s="19">
        <v>45065.0</v>
      </c>
      <c r="M36" s="20">
        <v>1.72</v>
      </c>
    </row>
    <row r="37" ht="14.25" customHeight="1">
      <c r="A37" s="11" t="s">
        <v>103</v>
      </c>
      <c r="B37" s="12" t="s">
        <v>104</v>
      </c>
      <c r="C37" s="13"/>
      <c r="D37" s="17" t="s">
        <v>105</v>
      </c>
      <c r="E37" s="17">
        <v>21.0</v>
      </c>
      <c r="F37" s="16" t="s">
        <v>13</v>
      </c>
      <c r="G37" s="17" t="s">
        <v>14</v>
      </c>
      <c r="H37" s="21">
        <v>45111.0</v>
      </c>
      <c r="I37" s="19">
        <v>45069.0</v>
      </c>
      <c r="M37" s="20">
        <v>0.8</v>
      </c>
    </row>
    <row r="38" ht="14.25" customHeight="1">
      <c r="A38" s="11" t="s">
        <v>106</v>
      </c>
      <c r="B38" s="12" t="s">
        <v>107</v>
      </c>
      <c r="C38" s="13"/>
      <c r="D38" s="17" t="s">
        <v>108</v>
      </c>
      <c r="E38" s="17">
        <v>78.0</v>
      </c>
      <c r="F38" s="17" t="s">
        <v>13</v>
      </c>
      <c r="G38" s="17" t="s">
        <v>14</v>
      </c>
      <c r="H38" s="21">
        <v>45134.0</v>
      </c>
      <c r="I38" s="19">
        <v>44741.0</v>
      </c>
      <c r="M38" s="20">
        <v>2.51</v>
      </c>
    </row>
    <row r="39" ht="14.25" customHeight="1">
      <c r="A39" s="11" t="s">
        <v>109</v>
      </c>
      <c r="B39" s="12" t="s">
        <v>110</v>
      </c>
      <c r="C39" s="13"/>
      <c r="D39" s="17" t="s">
        <v>111</v>
      </c>
      <c r="E39" s="17">
        <v>29.0</v>
      </c>
      <c r="F39" s="17" t="s">
        <v>13</v>
      </c>
      <c r="G39" s="17" t="s">
        <v>14</v>
      </c>
      <c r="H39" s="21">
        <v>45134.0</v>
      </c>
      <c r="I39" s="19">
        <v>44741.0</v>
      </c>
      <c r="M39" s="20">
        <v>0.91</v>
      </c>
    </row>
    <row r="40" ht="14.25" customHeight="1">
      <c r="A40" s="11" t="s">
        <v>112</v>
      </c>
      <c r="B40" s="12" t="s">
        <v>113</v>
      </c>
      <c r="C40" s="13"/>
      <c r="D40" s="17" t="s">
        <v>114</v>
      </c>
      <c r="E40" s="17">
        <v>29.0</v>
      </c>
      <c r="F40" s="17" t="s">
        <v>13</v>
      </c>
      <c r="G40" s="17" t="s">
        <v>14</v>
      </c>
      <c r="H40" s="21">
        <v>45134.0</v>
      </c>
      <c r="I40" s="19">
        <v>44741.0</v>
      </c>
      <c r="M40" s="20">
        <v>0.97</v>
      </c>
    </row>
    <row r="41" ht="14.25" customHeight="1">
      <c r="A41" s="11" t="s">
        <v>115</v>
      </c>
      <c r="B41" s="12" t="s">
        <v>116</v>
      </c>
      <c r="C41" s="13"/>
      <c r="D41" s="17" t="s">
        <v>117</v>
      </c>
      <c r="E41" s="17">
        <v>152.0</v>
      </c>
      <c r="F41" s="17" t="s">
        <v>13</v>
      </c>
      <c r="G41" s="17" t="s">
        <v>14</v>
      </c>
      <c r="H41" s="23">
        <v>45531.0</v>
      </c>
      <c r="I41" s="24">
        <v>44741.0</v>
      </c>
      <c r="J41" s="25" t="s">
        <v>118</v>
      </c>
      <c r="K41" s="26"/>
      <c r="L41" s="27"/>
      <c r="M41" s="20">
        <v>0.5</v>
      </c>
    </row>
    <row r="42" ht="14.25" customHeight="1">
      <c r="A42" s="11" t="s">
        <v>119</v>
      </c>
      <c r="B42" s="12" t="s">
        <v>120</v>
      </c>
      <c r="C42" s="13"/>
      <c r="D42" s="17" t="s">
        <v>121</v>
      </c>
      <c r="E42" s="17">
        <v>58.0</v>
      </c>
      <c r="F42" s="17" t="s">
        <v>13</v>
      </c>
      <c r="G42" s="17" t="s">
        <v>14</v>
      </c>
      <c r="H42" s="21">
        <v>45134.0</v>
      </c>
      <c r="I42" s="19">
        <v>44741.0</v>
      </c>
      <c r="M42" s="20">
        <v>2.1</v>
      </c>
    </row>
    <row r="43" ht="14.25" customHeight="1">
      <c r="A43" s="11" t="s">
        <v>122</v>
      </c>
      <c r="B43" s="12" t="s">
        <v>123</v>
      </c>
      <c r="C43" s="13"/>
      <c r="D43" s="17" t="s">
        <v>124</v>
      </c>
      <c r="E43" s="17">
        <v>52.0</v>
      </c>
      <c r="F43" s="17" t="s">
        <v>13</v>
      </c>
      <c r="G43" s="17" t="s">
        <v>14</v>
      </c>
      <c r="H43" s="23">
        <v>45531.0</v>
      </c>
      <c r="I43" s="24">
        <v>44741.0</v>
      </c>
      <c r="J43" s="25" t="s">
        <v>118</v>
      </c>
      <c r="K43" s="26"/>
      <c r="L43" s="27"/>
      <c r="M43" s="20">
        <v>2.22</v>
      </c>
    </row>
    <row r="44" ht="14.25" customHeight="1">
      <c r="A44" s="11" t="s">
        <v>125</v>
      </c>
      <c r="B44" s="12" t="s">
        <v>126</v>
      </c>
      <c r="C44" s="13"/>
      <c r="D44" s="17" t="s">
        <v>127</v>
      </c>
      <c r="E44" s="17">
        <v>313.0</v>
      </c>
      <c r="F44" s="17" t="s">
        <v>13</v>
      </c>
      <c r="G44" s="17" t="s">
        <v>14</v>
      </c>
      <c r="H44" s="21">
        <v>45531.0</v>
      </c>
      <c r="I44" s="19">
        <v>45110.0</v>
      </c>
      <c r="M44" s="20">
        <v>15.96</v>
      </c>
    </row>
    <row r="45" ht="14.25" customHeight="1">
      <c r="A45" s="11" t="s">
        <v>128</v>
      </c>
      <c r="B45" s="12" t="s">
        <v>129</v>
      </c>
      <c r="C45" s="13"/>
      <c r="D45" s="17" t="s">
        <v>130</v>
      </c>
      <c r="E45" s="17">
        <v>53.0</v>
      </c>
      <c r="F45" s="17" t="s">
        <v>131</v>
      </c>
      <c r="G45" s="17" t="s">
        <v>14</v>
      </c>
      <c r="H45" s="21">
        <v>45134.0</v>
      </c>
      <c r="I45" s="19">
        <v>45110.0</v>
      </c>
      <c r="M45" s="20">
        <v>2.1</v>
      </c>
    </row>
    <row r="46" ht="14.25" customHeight="1">
      <c r="A46" s="11" t="s">
        <v>132</v>
      </c>
      <c r="B46" s="12" t="s">
        <v>133</v>
      </c>
      <c r="C46" s="13"/>
      <c r="D46" s="17" t="s">
        <v>134</v>
      </c>
      <c r="E46" s="17">
        <v>37.0</v>
      </c>
      <c r="F46" s="17" t="s">
        <v>13</v>
      </c>
      <c r="G46" s="17" t="s">
        <v>14</v>
      </c>
      <c r="H46" s="23">
        <v>45134.0</v>
      </c>
      <c r="I46" s="24">
        <v>45110.0</v>
      </c>
      <c r="J46" s="25" t="s">
        <v>118</v>
      </c>
      <c r="K46" s="26"/>
      <c r="L46" s="27"/>
      <c r="M46" s="20">
        <v>1.35</v>
      </c>
    </row>
    <row r="47" ht="14.25" customHeight="1">
      <c r="A47" s="11" t="s">
        <v>135</v>
      </c>
      <c r="B47" s="12" t="s">
        <v>136</v>
      </c>
      <c r="C47" s="13"/>
      <c r="D47" s="17" t="s">
        <v>137</v>
      </c>
      <c r="E47" s="17">
        <v>33.0</v>
      </c>
      <c r="F47" s="17" t="s">
        <v>13</v>
      </c>
      <c r="G47" s="17" t="s">
        <v>14</v>
      </c>
      <c r="H47" s="28">
        <v>45134.0</v>
      </c>
      <c r="I47" s="19">
        <v>45110.0</v>
      </c>
      <c r="M47" s="20">
        <v>1.4</v>
      </c>
    </row>
    <row r="48" ht="14.25" customHeight="1">
      <c r="A48" s="11" t="s">
        <v>138</v>
      </c>
      <c r="B48" s="12" t="s">
        <v>139</v>
      </c>
      <c r="C48" s="13"/>
      <c r="D48" s="17" t="s">
        <v>140</v>
      </c>
      <c r="E48" s="17">
        <v>49.0</v>
      </c>
      <c r="F48" s="17" t="s">
        <v>13</v>
      </c>
      <c r="G48" s="17" t="s">
        <v>14</v>
      </c>
      <c r="H48" s="28">
        <v>45134.0</v>
      </c>
      <c r="I48" s="19">
        <v>45110.0</v>
      </c>
      <c r="M48" s="20">
        <v>1.52</v>
      </c>
    </row>
    <row r="49" ht="14.25" customHeight="1">
      <c r="A49" s="11" t="s">
        <v>141</v>
      </c>
      <c r="B49" s="12" t="s">
        <v>142</v>
      </c>
      <c r="C49" s="13"/>
      <c r="D49" s="17" t="s">
        <v>143</v>
      </c>
      <c r="E49" s="17">
        <v>29.0</v>
      </c>
      <c r="F49" s="17" t="s">
        <v>13</v>
      </c>
      <c r="G49" s="17" t="s">
        <v>14</v>
      </c>
      <c r="H49" s="28">
        <v>45134.0</v>
      </c>
      <c r="I49" s="19">
        <v>45110.0</v>
      </c>
      <c r="M49" s="20">
        <v>1.1</v>
      </c>
    </row>
    <row r="50" ht="14.25" customHeight="1">
      <c r="A50" s="11" t="s">
        <v>144</v>
      </c>
      <c r="B50" s="12" t="s">
        <v>145</v>
      </c>
      <c r="C50" s="13"/>
      <c r="D50" s="17" t="s">
        <v>146</v>
      </c>
      <c r="E50" s="17">
        <v>169.0</v>
      </c>
      <c r="F50" s="17" t="s">
        <v>13</v>
      </c>
      <c r="G50" s="17" t="s">
        <v>14</v>
      </c>
      <c r="H50" s="28">
        <v>45143.0</v>
      </c>
      <c r="I50" s="19">
        <v>45154.0</v>
      </c>
      <c r="M50" s="20">
        <v>1.18</v>
      </c>
    </row>
    <row r="51" ht="14.25" customHeight="1">
      <c r="A51" s="11" t="s">
        <v>147</v>
      </c>
      <c r="B51" s="12" t="s">
        <v>148</v>
      </c>
      <c r="C51" s="13"/>
      <c r="D51" s="17" t="s">
        <v>149</v>
      </c>
      <c r="E51" s="17">
        <v>113.0</v>
      </c>
      <c r="F51" s="17" t="s">
        <v>13</v>
      </c>
      <c r="G51" s="17" t="s">
        <v>14</v>
      </c>
      <c r="H51" s="28">
        <v>45531.0</v>
      </c>
      <c r="I51" s="19">
        <v>45191.0</v>
      </c>
      <c r="M51" s="20">
        <v>0.82</v>
      </c>
    </row>
    <row r="52" ht="14.25" customHeight="1">
      <c r="A52" s="11" t="s">
        <v>150</v>
      </c>
      <c r="B52" s="12" t="s">
        <v>151</v>
      </c>
      <c r="C52" s="13"/>
      <c r="D52" s="17" t="s">
        <v>152</v>
      </c>
      <c r="E52" s="17">
        <v>20.0</v>
      </c>
      <c r="F52" s="17" t="s">
        <v>13</v>
      </c>
      <c r="G52" s="17" t="s">
        <v>14</v>
      </c>
      <c r="H52" s="23">
        <v>45531.0</v>
      </c>
      <c r="I52" s="24">
        <v>45191.0</v>
      </c>
      <c r="J52" s="29"/>
      <c r="K52" s="29"/>
      <c r="L52" s="29"/>
      <c r="M52" s="20">
        <v>5.14</v>
      </c>
    </row>
    <row r="53" ht="14.25" customHeight="1">
      <c r="A53" s="11" t="s">
        <v>153</v>
      </c>
      <c r="B53" s="12" t="s">
        <v>154</v>
      </c>
      <c r="C53" s="13"/>
      <c r="D53" s="17" t="s">
        <v>48</v>
      </c>
      <c r="E53" s="17">
        <v>29.0</v>
      </c>
      <c r="F53" s="17" t="s">
        <v>13</v>
      </c>
      <c r="G53" s="17" t="s">
        <v>14</v>
      </c>
      <c r="H53" s="18"/>
      <c r="I53" s="19">
        <v>45192.0</v>
      </c>
      <c r="M53" s="20">
        <v>0.91</v>
      </c>
    </row>
    <row r="54" ht="14.25" customHeight="1">
      <c r="A54" s="11" t="s">
        <v>155</v>
      </c>
      <c r="B54" s="12" t="s">
        <v>156</v>
      </c>
      <c r="C54" s="13"/>
      <c r="D54" s="17" t="s">
        <v>157</v>
      </c>
      <c r="E54" s="17">
        <v>24.0</v>
      </c>
      <c r="F54" s="17" t="s">
        <v>13</v>
      </c>
      <c r="G54" s="17" t="s">
        <v>14</v>
      </c>
      <c r="H54" s="21">
        <v>45344.0</v>
      </c>
      <c r="I54" s="19"/>
      <c r="M54" s="20">
        <v>1.1</v>
      </c>
    </row>
    <row r="55" ht="14.25" customHeight="1">
      <c r="A55" s="11" t="s">
        <v>158</v>
      </c>
      <c r="B55" s="12" t="s">
        <v>159</v>
      </c>
      <c r="C55" s="13"/>
      <c r="D55" s="17" t="s">
        <v>160</v>
      </c>
      <c r="E55" s="17">
        <v>246.0</v>
      </c>
      <c r="F55" s="17" t="s">
        <v>13</v>
      </c>
      <c r="G55" s="17" t="s">
        <v>14</v>
      </c>
      <c r="H55" s="18"/>
      <c r="I55" s="19"/>
      <c r="M55" s="20">
        <v>13.4</v>
      </c>
    </row>
    <row r="56" ht="14.25" customHeight="1">
      <c r="A56" s="11" t="s">
        <v>161</v>
      </c>
      <c r="B56" s="12" t="s">
        <v>162</v>
      </c>
      <c r="C56" s="13"/>
      <c r="D56" s="17" t="s">
        <v>163</v>
      </c>
      <c r="E56" s="17">
        <v>161.0</v>
      </c>
      <c r="F56" s="17" t="s">
        <v>13</v>
      </c>
      <c r="G56" s="17" t="s">
        <v>14</v>
      </c>
      <c r="H56" s="21">
        <v>45390.0</v>
      </c>
      <c r="I56" s="19"/>
      <c r="M56" s="20">
        <v>5.2</v>
      </c>
    </row>
    <row r="57" ht="14.25" customHeight="1">
      <c r="A57" s="30" t="s">
        <v>164</v>
      </c>
      <c r="B57" s="12" t="s">
        <v>165</v>
      </c>
      <c r="C57" s="13"/>
      <c r="D57" s="17" t="s">
        <v>166</v>
      </c>
      <c r="E57" s="31" t="s">
        <v>167</v>
      </c>
      <c r="F57" s="17" t="s">
        <v>13</v>
      </c>
      <c r="G57" s="17" t="s">
        <v>14</v>
      </c>
      <c r="H57" s="18"/>
      <c r="I57" s="19"/>
      <c r="M57" s="20">
        <v>9.01</v>
      </c>
    </row>
    <row r="58" ht="14.25" customHeight="1">
      <c r="A58" s="30" t="s">
        <v>168</v>
      </c>
      <c r="B58" s="12" t="s">
        <v>169</v>
      </c>
      <c r="C58" s="13"/>
      <c r="D58" s="17" t="s">
        <v>170</v>
      </c>
      <c r="E58" s="31">
        <v>385.0</v>
      </c>
      <c r="F58" s="17" t="s">
        <v>131</v>
      </c>
      <c r="G58" s="17" t="s">
        <v>14</v>
      </c>
      <c r="H58" s="21">
        <v>45485.0</v>
      </c>
      <c r="I58" s="19"/>
      <c r="M58" s="20">
        <v>11.8</v>
      </c>
    </row>
    <row r="59" ht="14.25" customHeight="1">
      <c r="A59" s="11" t="s">
        <v>171</v>
      </c>
      <c r="B59" s="12" t="s">
        <v>172</v>
      </c>
      <c r="C59" s="13"/>
      <c r="D59" s="17" t="s">
        <v>173</v>
      </c>
      <c r="E59" s="31" t="s">
        <v>167</v>
      </c>
      <c r="F59" s="17" t="s">
        <v>13</v>
      </c>
      <c r="G59" s="17" t="s">
        <v>14</v>
      </c>
      <c r="H59" s="18"/>
      <c r="I59" s="19"/>
      <c r="M59" s="20">
        <v>19.2</v>
      </c>
    </row>
    <row r="60" ht="14.25" customHeight="1">
      <c r="A60" s="11" t="s">
        <v>174</v>
      </c>
      <c r="B60" s="12" t="s">
        <v>175</v>
      </c>
      <c r="C60" s="13"/>
      <c r="D60" s="17" t="s">
        <v>176</v>
      </c>
      <c r="E60" s="31">
        <v>83.0</v>
      </c>
      <c r="F60" s="17" t="s">
        <v>13</v>
      </c>
      <c r="G60" s="17" t="s">
        <v>14</v>
      </c>
      <c r="H60" s="18"/>
      <c r="I60" s="19"/>
      <c r="M60" s="20">
        <v>9.01</v>
      </c>
    </row>
    <row r="61" ht="14.25" customHeight="1">
      <c r="A61" s="32" t="s">
        <v>177</v>
      </c>
      <c r="B61" s="12" t="s">
        <v>178</v>
      </c>
      <c r="C61" s="13"/>
      <c r="D61" s="17" t="s">
        <v>179</v>
      </c>
      <c r="E61" s="33">
        <v>65.0</v>
      </c>
      <c r="F61" s="17" t="s">
        <v>13</v>
      </c>
      <c r="G61" s="17" t="s">
        <v>14</v>
      </c>
      <c r="H61" s="18"/>
      <c r="I61" s="19"/>
      <c r="J61" s="29"/>
      <c r="K61" s="29"/>
      <c r="L61" s="29"/>
      <c r="M61" s="20">
        <v>3.16</v>
      </c>
    </row>
    <row r="62" ht="14.25" customHeight="1">
      <c r="A62" s="32" t="s">
        <v>180</v>
      </c>
      <c r="B62" s="12" t="s">
        <v>181</v>
      </c>
      <c r="C62" s="13"/>
      <c r="D62" s="17" t="s">
        <v>182</v>
      </c>
      <c r="E62" s="33">
        <v>129.0</v>
      </c>
      <c r="F62" s="17" t="s">
        <v>131</v>
      </c>
      <c r="G62" s="17"/>
      <c r="H62" s="18"/>
      <c r="I62" s="34">
        <v>45506.0</v>
      </c>
      <c r="M62" s="20">
        <v>5.19</v>
      </c>
    </row>
    <row r="63" ht="14.25" customHeight="1">
      <c r="A63" s="32" t="s">
        <v>183</v>
      </c>
      <c r="B63" s="12" t="s">
        <v>184</v>
      </c>
      <c r="C63" s="13"/>
      <c r="D63" s="17" t="s">
        <v>179</v>
      </c>
      <c r="E63" s="33">
        <v>35.0</v>
      </c>
      <c r="F63" s="17" t="s">
        <v>13</v>
      </c>
      <c r="G63" s="17" t="s">
        <v>14</v>
      </c>
      <c r="H63" s="35"/>
      <c r="I63" s="36"/>
      <c r="J63" s="37" t="s">
        <v>185</v>
      </c>
      <c r="K63" s="26"/>
      <c r="L63" s="27"/>
      <c r="M63" s="20">
        <v>1.59</v>
      </c>
    </row>
    <row r="64" ht="14.25" customHeight="1">
      <c r="A64" s="32" t="s">
        <v>186</v>
      </c>
      <c r="B64" s="12" t="s">
        <v>187</v>
      </c>
      <c r="C64" s="13"/>
      <c r="D64" s="17" t="s">
        <v>188</v>
      </c>
      <c r="E64" s="33">
        <v>44.0</v>
      </c>
      <c r="F64" s="17" t="s">
        <v>131</v>
      </c>
      <c r="G64" s="17" t="s">
        <v>14</v>
      </c>
      <c r="H64" s="18"/>
      <c r="I64" s="34"/>
      <c r="M64" s="20">
        <v>1.8</v>
      </c>
    </row>
    <row r="65" ht="14.25" customHeight="1">
      <c r="A65" s="32" t="s">
        <v>189</v>
      </c>
      <c r="B65" s="12" t="s">
        <v>190</v>
      </c>
      <c r="C65" s="13"/>
      <c r="D65" s="17" t="s">
        <v>191</v>
      </c>
      <c r="E65" s="33">
        <v>209.0</v>
      </c>
      <c r="F65" s="17" t="s">
        <v>13</v>
      </c>
      <c r="G65" s="17"/>
      <c r="H65" s="18"/>
      <c r="I65" s="34">
        <v>45548.0</v>
      </c>
      <c r="M65" s="20">
        <v>5.82</v>
      </c>
    </row>
    <row r="66" ht="14.25" customHeight="1">
      <c r="A66" s="32" t="s">
        <v>192</v>
      </c>
      <c r="B66" s="12" t="s">
        <v>193</v>
      </c>
      <c r="C66" s="13"/>
      <c r="D66" s="17" t="s">
        <v>194</v>
      </c>
      <c r="E66" s="33">
        <v>251.0</v>
      </c>
      <c r="F66" s="17" t="s">
        <v>131</v>
      </c>
      <c r="G66" s="17"/>
      <c r="H66" s="18"/>
      <c r="I66" s="34">
        <v>45551.0</v>
      </c>
      <c r="M66" s="20">
        <v>6.02</v>
      </c>
    </row>
    <row r="67" ht="14.25" customHeight="1">
      <c r="A67" s="32" t="s">
        <v>195</v>
      </c>
      <c r="B67" s="12" t="s">
        <v>196</v>
      </c>
      <c r="C67" s="13"/>
      <c r="D67" s="17" t="s">
        <v>197</v>
      </c>
      <c r="E67" s="33">
        <v>202.0</v>
      </c>
      <c r="F67" s="17" t="s">
        <v>13</v>
      </c>
      <c r="G67" s="17" t="s">
        <v>13</v>
      </c>
      <c r="H67" s="18"/>
      <c r="I67" s="34">
        <v>45552.0</v>
      </c>
      <c r="M67" s="20">
        <v>5.92</v>
      </c>
    </row>
    <row r="68" ht="14.25" customHeight="1">
      <c r="A68" s="32" t="s">
        <v>198</v>
      </c>
      <c r="B68" s="38" t="s">
        <v>199</v>
      </c>
      <c r="C68" s="13"/>
      <c r="D68" s="17" t="s">
        <v>167</v>
      </c>
      <c r="E68" s="33"/>
      <c r="F68" s="17"/>
      <c r="G68" s="17"/>
      <c r="H68" s="18"/>
      <c r="I68" s="34"/>
      <c r="M68" s="20">
        <v>9.2</v>
      </c>
    </row>
    <row r="69" ht="14.25" customHeight="1">
      <c r="A69" s="32" t="s">
        <v>200</v>
      </c>
      <c r="B69" s="12" t="s">
        <v>201</v>
      </c>
      <c r="C69" s="13"/>
      <c r="D69" s="17" t="s">
        <v>202</v>
      </c>
      <c r="E69" s="33">
        <v>31.0</v>
      </c>
      <c r="F69" s="17"/>
      <c r="G69" s="17"/>
      <c r="H69" s="18"/>
      <c r="I69" s="39"/>
      <c r="M69" s="20">
        <v>1.02</v>
      </c>
    </row>
    <row r="70" ht="12.75" customHeight="1">
      <c r="A70" s="32" t="s">
        <v>203</v>
      </c>
      <c r="B70" s="12" t="s">
        <v>204</v>
      </c>
      <c r="C70" s="13"/>
      <c r="D70" s="17" t="s">
        <v>205</v>
      </c>
      <c r="E70" s="17">
        <v>257.0</v>
      </c>
      <c r="F70" s="17" t="s">
        <v>131</v>
      </c>
      <c r="G70" s="17"/>
      <c r="H70" s="18"/>
      <c r="I70" s="39"/>
      <c r="M70" s="20">
        <v>6.95</v>
      </c>
    </row>
    <row r="71" ht="14.25" customHeight="1">
      <c r="A71" s="32" t="s">
        <v>206</v>
      </c>
      <c r="B71" s="12" t="s">
        <v>207</v>
      </c>
      <c r="C71" s="13"/>
      <c r="D71" s="17" t="s">
        <v>208</v>
      </c>
      <c r="E71" s="33">
        <v>133.0</v>
      </c>
      <c r="F71" s="17"/>
      <c r="G71" s="17"/>
      <c r="H71" s="18"/>
      <c r="I71" s="39"/>
      <c r="M71" s="20">
        <v>3.9</v>
      </c>
    </row>
    <row r="72" ht="14.25" customHeight="1">
      <c r="A72" s="32" t="s">
        <v>209</v>
      </c>
      <c r="B72" s="12" t="s">
        <v>210</v>
      </c>
      <c r="C72" s="13"/>
      <c r="D72" s="17" t="s">
        <v>211</v>
      </c>
      <c r="E72" s="33">
        <v>304.0</v>
      </c>
      <c r="F72" s="17"/>
      <c r="G72" s="17"/>
      <c r="I72" s="39"/>
      <c r="M72" s="20">
        <v>9.2</v>
      </c>
    </row>
    <row r="73" ht="14.25" customHeight="1">
      <c r="A73" s="32" t="s">
        <v>212</v>
      </c>
      <c r="B73" s="12" t="s">
        <v>213</v>
      </c>
      <c r="C73" s="13"/>
      <c r="D73" s="40" t="s">
        <v>214</v>
      </c>
      <c r="E73" s="33">
        <v>42.0</v>
      </c>
      <c r="F73" s="17"/>
      <c r="G73" s="17"/>
      <c r="H73" s="21">
        <v>45691.0</v>
      </c>
      <c r="I73" s="39"/>
      <c r="M73" s="20">
        <v>0.91</v>
      </c>
    </row>
    <row r="74" ht="14.25" customHeight="1">
      <c r="A74" s="32" t="s">
        <v>215</v>
      </c>
      <c r="B74" s="12" t="s">
        <v>216</v>
      </c>
      <c r="C74" s="13"/>
      <c r="D74" s="17" t="s">
        <v>217</v>
      </c>
      <c r="E74" s="33">
        <v>0.0</v>
      </c>
      <c r="F74" s="17"/>
      <c r="G74" s="17"/>
      <c r="H74" s="18"/>
      <c r="I74" s="39"/>
      <c r="M74" s="20">
        <v>0.92</v>
      </c>
    </row>
    <row r="75" ht="14.25" customHeight="1">
      <c r="A75" s="32" t="s">
        <v>218</v>
      </c>
      <c r="B75" s="12" t="s">
        <v>219</v>
      </c>
      <c r="C75" s="13"/>
      <c r="D75" s="17" t="s">
        <v>220</v>
      </c>
      <c r="E75" s="33">
        <v>72.0</v>
      </c>
      <c r="F75" s="17"/>
      <c r="G75" s="41"/>
      <c r="H75" s="21">
        <v>45712.0</v>
      </c>
      <c r="I75" s="39">
        <v>44.0</v>
      </c>
      <c r="M75" s="20">
        <v>5.2</v>
      </c>
    </row>
    <row r="76" ht="14.25" customHeight="1">
      <c r="A76" s="32" t="s">
        <v>221</v>
      </c>
      <c r="B76" s="12" t="s">
        <v>222</v>
      </c>
      <c r="C76" s="13"/>
      <c r="D76" s="17" t="s">
        <v>223</v>
      </c>
      <c r="E76" s="33">
        <v>167.0</v>
      </c>
      <c r="F76" s="17"/>
      <c r="G76" s="17"/>
      <c r="H76" s="18"/>
      <c r="I76" s="39"/>
      <c r="M76" s="20">
        <v>6.04</v>
      </c>
    </row>
    <row r="77" ht="13.5" customHeight="1">
      <c r="A77" s="32" t="s">
        <v>224</v>
      </c>
      <c r="B77" s="12" t="s">
        <v>225</v>
      </c>
      <c r="C77" s="13"/>
      <c r="D77" s="17" t="s">
        <v>226</v>
      </c>
      <c r="E77" s="33">
        <v>247.0</v>
      </c>
      <c r="F77" s="17"/>
      <c r="G77" s="17"/>
      <c r="H77" s="18"/>
      <c r="I77" s="42"/>
      <c r="M77" s="20">
        <v>7.4</v>
      </c>
    </row>
    <row r="78" ht="14.25" customHeight="1">
      <c r="A78" s="43" t="s">
        <v>227</v>
      </c>
      <c r="B78" s="12" t="s">
        <v>228</v>
      </c>
      <c r="C78" s="13"/>
      <c r="D78" s="17" t="s">
        <v>229</v>
      </c>
      <c r="E78" s="17">
        <v>1069.0</v>
      </c>
      <c r="F78" s="43"/>
      <c r="G78" s="43"/>
      <c r="H78" s="42"/>
      <c r="I78" s="42"/>
      <c r="M78" s="20">
        <v>38.42</v>
      </c>
    </row>
    <row r="79" ht="14.25" customHeight="1">
      <c r="A79" s="43" t="s">
        <v>230</v>
      </c>
      <c r="B79" s="12" t="s">
        <v>231</v>
      </c>
      <c r="C79" s="13"/>
      <c r="D79" s="17" t="s">
        <v>232</v>
      </c>
      <c r="E79" s="17">
        <v>916.0</v>
      </c>
      <c r="F79" s="43"/>
      <c r="G79" s="43"/>
      <c r="H79" s="42"/>
      <c r="I79" s="42"/>
      <c r="M79" s="20">
        <v>33.62</v>
      </c>
    </row>
    <row r="80" ht="14.25" customHeight="1">
      <c r="A80" s="44"/>
      <c r="B80" s="44"/>
      <c r="C80" s="44"/>
      <c r="D80" s="44"/>
      <c r="E80" s="44"/>
      <c r="F80" s="44"/>
      <c r="G80" s="44"/>
      <c r="M80" s="20">
        <f>SUM(M6:M79)</f>
        <v>375.16</v>
      </c>
    </row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>
      <c r="C101" s="18" t="s">
        <v>233</v>
      </c>
      <c r="D101" s="18" t="s">
        <v>234</v>
      </c>
      <c r="E101" s="18" t="s">
        <v>235</v>
      </c>
    </row>
    <row r="102" ht="40.5" customHeight="1">
      <c r="C102" s="45" t="s">
        <v>236</v>
      </c>
      <c r="D102" s="18" t="s">
        <v>237</v>
      </c>
      <c r="E102" s="18">
        <v>1.0</v>
      </c>
    </row>
    <row r="103" ht="27.0" customHeight="1">
      <c r="C103" s="45" t="s">
        <v>238</v>
      </c>
      <c r="D103" s="18" t="s">
        <v>239</v>
      </c>
      <c r="E103" s="18">
        <v>3.0</v>
      </c>
    </row>
    <row r="104" ht="33.0" customHeight="1">
      <c r="C104" s="45" t="s">
        <v>240</v>
      </c>
      <c r="D104" s="18" t="s">
        <v>241</v>
      </c>
      <c r="E104" s="18">
        <v>8.0</v>
      </c>
    </row>
    <row r="105" ht="21.75" customHeight="1">
      <c r="C105" s="45" t="s">
        <v>242</v>
      </c>
      <c r="D105" s="18" t="s">
        <v>237</v>
      </c>
      <c r="E105" s="18">
        <v>2.0</v>
      </c>
    </row>
    <row r="106" ht="24.0" customHeight="1">
      <c r="C106" s="45" t="s">
        <v>243</v>
      </c>
      <c r="D106" s="18" t="s">
        <v>244</v>
      </c>
      <c r="E106" s="18">
        <v>1.0</v>
      </c>
    </row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0">
    <mergeCell ref="B47:C47"/>
    <mergeCell ref="B48:C48"/>
    <mergeCell ref="B49:C49"/>
    <mergeCell ref="B50:C50"/>
    <mergeCell ref="B51:C51"/>
    <mergeCell ref="B52:C52"/>
    <mergeCell ref="B53:C53"/>
    <mergeCell ref="B61:C61"/>
    <mergeCell ref="B62:C62"/>
    <mergeCell ref="B63:C63"/>
    <mergeCell ref="J63:L63"/>
    <mergeCell ref="B54:C54"/>
    <mergeCell ref="B55:C55"/>
    <mergeCell ref="B56:C56"/>
    <mergeCell ref="B57:C57"/>
    <mergeCell ref="B58:C58"/>
    <mergeCell ref="B59:C59"/>
    <mergeCell ref="B60:C60"/>
    <mergeCell ref="B64:C64"/>
    <mergeCell ref="B65:C65"/>
    <mergeCell ref="B66:C66"/>
    <mergeCell ref="B67:C67"/>
    <mergeCell ref="B68:C68"/>
    <mergeCell ref="B69:C69"/>
    <mergeCell ref="B70:C70"/>
    <mergeCell ref="B78:C78"/>
    <mergeCell ref="B79:C79"/>
    <mergeCell ref="B71:C71"/>
    <mergeCell ref="B72:C72"/>
    <mergeCell ref="B73:C73"/>
    <mergeCell ref="B74:C74"/>
    <mergeCell ref="B75:C75"/>
    <mergeCell ref="B76:C76"/>
    <mergeCell ref="B77:C77"/>
    <mergeCell ref="A2:I2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9:C39"/>
    <mergeCell ref="B40:C40"/>
    <mergeCell ref="B41:C41"/>
    <mergeCell ref="J41:L41"/>
    <mergeCell ref="B32:C32"/>
    <mergeCell ref="B33:C33"/>
    <mergeCell ref="B34:C34"/>
    <mergeCell ref="B35:C35"/>
    <mergeCell ref="B36:C36"/>
    <mergeCell ref="B37:C37"/>
    <mergeCell ref="B38:C38"/>
    <mergeCell ref="B42:C42"/>
    <mergeCell ref="B43:C43"/>
    <mergeCell ref="J43:L43"/>
    <mergeCell ref="B44:C44"/>
    <mergeCell ref="B45:C45"/>
    <mergeCell ref="B46:C46"/>
    <mergeCell ref="J46:L46"/>
  </mergeCells>
  <printOptions horizontalCentered="1"/>
  <pageMargins bottom="0.7480314960629921" footer="0.0" header="0.0" left="0.7086614173228347" right="0.7086614173228347" top="0.7480314960629921"/>
  <pageSetup scale="6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0"/>
    <col customWidth="1" min="2" max="26" width="10.71"/>
  </cols>
  <sheetData>
    <row r="1" ht="14.25" customHeight="1">
      <c r="A1" s="46" t="s">
        <v>245</v>
      </c>
    </row>
    <row r="2" ht="14.25" customHeight="1">
      <c r="A2" s="18" t="s">
        <v>246</v>
      </c>
    </row>
    <row r="3" ht="14.25" customHeight="1">
      <c r="A3" s="18" t="s">
        <v>247</v>
      </c>
    </row>
    <row r="4" ht="14.25" customHeight="1">
      <c r="A4" s="18" t="s">
        <v>248</v>
      </c>
    </row>
    <row r="5" ht="14.25" customHeight="1">
      <c r="A5" s="18" t="s">
        <v>249</v>
      </c>
    </row>
    <row r="6" ht="14.25" customHeight="1">
      <c r="A6" s="18" t="s">
        <v>250</v>
      </c>
    </row>
    <row r="7" ht="14.25" customHeight="1">
      <c r="A7" s="18" t="s">
        <v>251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10.71"/>
    <col customWidth="1" min="3" max="3" width="22.86"/>
    <col customWidth="1" min="4" max="4" width="16.43"/>
    <col customWidth="1" min="5" max="5" width="10.71"/>
    <col customWidth="1" min="6" max="6" width="21.43"/>
    <col customWidth="1" min="7" max="26" width="10.71"/>
  </cols>
  <sheetData>
    <row r="1" ht="14.25" customHeight="1"/>
    <row r="2" ht="14.25" customHeight="1">
      <c r="A2" s="46" t="s">
        <v>252</v>
      </c>
      <c r="B2" s="47" t="s">
        <v>253</v>
      </c>
      <c r="C2" s="13"/>
      <c r="D2" s="48" t="s">
        <v>3</v>
      </c>
      <c r="E2" s="49" t="s">
        <v>254</v>
      </c>
      <c r="F2" s="46" t="s">
        <v>255</v>
      </c>
      <c r="G2" s="46" t="s">
        <v>256</v>
      </c>
    </row>
    <row r="3" ht="14.25" customHeight="1">
      <c r="A3" s="18">
        <v>60.0</v>
      </c>
      <c r="B3" s="12" t="s">
        <v>190</v>
      </c>
      <c r="C3" s="13"/>
      <c r="D3" s="17" t="s">
        <v>257</v>
      </c>
      <c r="E3" s="50">
        <v>209.0</v>
      </c>
      <c r="F3" s="18" t="s">
        <v>258</v>
      </c>
      <c r="G3" s="21">
        <v>45548.0</v>
      </c>
      <c r="H3" s="20">
        <f>209+201</f>
        <v>410</v>
      </c>
      <c r="I3" s="20">
        <f>+H3+251</f>
        <v>661</v>
      </c>
    </row>
    <row r="4" ht="14.25" customHeight="1">
      <c r="A4" s="18">
        <v>61.0</v>
      </c>
      <c r="B4" s="12" t="s">
        <v>259</v>
      </c>
      <c r="C4" s="13"/>
      <c r="D4" s="17" t="s">
        <v>194</v>
      </c>
      <c r="E4" s="50">
        <v>251.0</v>
      </c>
      <c r="F4" s="18" t="s">
        <v>258</v>
      </c>
      <c r="G4" s="21">
        <v>45551.0</v>
      </c>
    </row>
    <row r="5" ht="14.25" customHeight="1">
      <c r="A5" s="18">
        <v>62.0</v>
      </c>
      <c r="B5" s="12" t="s">
        <v>260</v>
      </c>
      <c r="C5" s="13"/>
      <c r="D5" s="17" t="s">
        <v>197</v>
      </c>
      <c r="E5" s="50">
        <v>201.0</v>
      </c>
      <c r="F5" s="18" t="s">
        <v>258</v>
      </c>
      <c r="G5" s="21">
        <v>45552.0</v>
      </c>
    </row>
    <row r="6" ht="14.25" customHeight="1">
      <c r="A6" s="18">
        <v>64.0</v>
      </c>
      <c r="B6" s="12" t="s">
        <v>201</v>
      </c>
      <c r="C6" s="13"/>
      <c r="D6" s="17" t="s">
        <v>202</v>
      </c>
      <c r="E6" s="50">
        <v>31.0</v>
      </c>
      <c r="F6" s="18" t="s">
        <v>258</v>
      </c>
      <c r="G6" s="21">
        <v>45558.0</v>
      </c>
    </row>
    <row r="7" ht="14.25" customHeight="1">
      <c r="A7" s="18">
        <v>65.0</v>
      </c>
      <c r="B7" s="12" t="s">
        <v>204</v>
      </c>
      <c r="C7" s="13"/>
      <c r="D7" s="17" t="s">
        <v>205</v>
      </c>
      <c r="E7" s="50">
        <v>257.0</v>
      </c>
      <c r="F7" s="18" t="s">
        <v>258</v>
      </c>
      <c r="G7" s="21">
        <v>45561.0</v>
      </c>
    </row>
    <row r="8" ht="14.25" customHeight="1"/>
    <row r="9" ht="14.25" customHeight="1"/>
    <row r="10" ht="14.25" customHeight="1"/>
    <row r="11" ht="14.25" customHeight="1">
      <c r="A11" s="46" t="s">
        <v>252</v>
      </c>
      <c r="B11" s="47" t="s">
        <v>253</v>
      </c>
      <c r="C11" s="13"/>
      <c r="D11" s="48" t="s">
        <v>3</v>
      </c>
      <c r="E11" s="49" t="s">
        <v>254</v>
      </c>
      <c r="F11" s="46" t="s">
        <v>255</v>
      </c>
      <c r="G11" s="46" t="s">
        <v>256</v>
      </c>
    </row>
    <row r="12" ht="14.25" customHeight="1">
      <c r="A12" s="18">
        <v>57.0</v>
      </c>
      <c r="B12" s="12" t="s">
        <v>261</v>
      </c>
      <c r="C12" s="13"/>
      <c r="D12" s="17" t="s">
        <v>182</v>
      </c>
      <c r="E12" s="50">
        <v>209.0</v>
      </c>
      <c r="F12" s="18" t="s">
        <v>262</v>
      </c>
      <c r="G12" s="21">
        <v>45505.0</v>
      </c>
    </row>
    <row r="13" ht="14.25" customHeight="1">
      <c r="A13" s="18">
        <v>61.0</v>
      </c>
      <c r="B13" s="12" t="s">
        <v>263</v>
      </c>
      <c r="C13" s="13"/>
      <c r="D13" s="17" t="s">
        <v>264</v>
      </c>
      <c r="E13" s="50">
        <v>251.0</v>
      </c>
      <c r="F13" s="18" t="s">
        <v>262</v>
      </c>
      <c r="G13" s="21">
        <v>45367.0</v>
      </c>
    </row>
    <row r="14" ht="14.25" customHeight="1">
      <c r="A14" s="18"/>
      <c r="B14" s="12"/>
      <c r="C14" s="13"/>
      <c r="D14" s="17"/>
      <c r="E14" s="50"/>
      <c r="F14" s="18"/>
      <c r="G14" s="21"/>
    </row>
    <row r="15" ht="14.25" customHeight="1">
      <c r="A15" s="18"/>
      <c r="B15" s="12"/>
      <c r="C15" s="13"/>
      <c r="D15" s="17"/>
      <c r="E15" s="50"/>
      <c r="F15" s="18"/>
      <c r="G15" s="21"/>
    </row>
    <row r="16" ht="14.25" customHeight="1">
      <c r="A16" s="18"/>
      <c r="B16" s="12"/>
      <c r="C16" s="13"/>
      <c r="D16" s="17"/>
      <c r="E16" s="50"/>
      <c r="F16" s="18"/>
      <c r="G16" s="21"/>
    </row>
    <row r="17" ht="14.25" customHeight="1"/>
    <row r="18" ht="14.25" customHeight="1"/>
    <row r="19" ht="14.25" customHeight="1"/>
    <row r="20" ht="14.25" customHeight="1">
      <c r="A20" s="51" t="s">
        <v>265</v>
      </c>
    </row>
    <row r="21" ht="14.25" customHeight="1">
      <c r="A21" s="52" t="s">
        <v>266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">
    <mergeCell ref="B12:C12"/>
    <mergeCell ref="B13:C13"/>
    <mergeCell ref="B14:C14"/>
    <mergeCell ref="B15:C15"/>
    <mergeCell ref="B16:C16"/>
    <mergeCell ref="A21:C21"/>
    <mergeCell ref="B2:C2"/>
    <mergeCell ref="B3:C3"/>
    <mergeCell ref="B4:C4"/>
    <mergeCell ref="B5:C5"/>
    <mergeCell ref="B6:C6"/>
    <mergeCell ref="B7:C7"/>
    <mergeCell ref="B11:C11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2023-05-23T15:22:20Z</dcterms:created>
  <dc:creator>Usuario</dc:creator>
</cp:coreProperties>
</file>